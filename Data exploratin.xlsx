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9dc878602c3e95/Documents/"/>
    </mc:Choice>
  </mc:AlternateContent>
  <xr:revisionPtr revIDLastSave="160" documentId="8_{A7AA27A6-23B8-443A-AD61-5ECA6DF62F2A}" xr6:coauthVersionLast="47" xr6:coauthVersionMax="47" xr10:uidLastSave="{71170F57-7A89-4D54-9A76-3EFCC6E49532}"/>
  <bookViews>
    <workbookView xWindow="-120" yWindow="-120" windowWidth="29040" windowHeight="15720" xr2:uid="{FD7DF12E-ABF8-4B53-9185-70A565E3CA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6" i="2" l="1"/>
  <c r="C15" i="2"/>
  <c r="C10" i="2"/>
  <c r="C11" i="2"/>
  <c r="C6" i="2"/>
  <c r="C5" i="2"/>
  <c r="C4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</calcChain>
</file>

<file path=xl/sharedStrings.xml><?xml version="1.0" encoding="utf-8"?>
<sst xmlns="http://schemas.openxmlformats.org/spreadsheetml/2006/main" count="158" uniqueCount="109">
  <si>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</si>
  <si>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</si>
  <si>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</si>
  <si>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</si>
  <si>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</si>
  <si>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</si>
  <si>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</si>
  <si>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</si>
  <si>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</si>
  <si>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</si>
  <si>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</si>
  <si>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</si>
  <si>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</si>
  <si>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</si>
  <si>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</si>
  <si>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</si>
  <si>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</si>
  <si>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</si>
  <si>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</si>
  <si>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</si>
  <si>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</si>
  <si>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</si>
  <si>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</si>
  <si>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</si>
  <si>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</si>
  <si>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</si>
  <si>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</si>
  <si>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</si>
  <si>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</si>
  <si>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</si>
  <si>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</si>
  <si>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</si>
  <si>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</si>
  <si>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</si>
  <si>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</si>
  <si>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</si>
  <si>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</si>
  <si>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</si>
  <si>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</si>
  <si>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</si>
  <si>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</si>
  <si>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</si>
  <si>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</si>
  <si>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</si>
  <si>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</si>
  <si>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</si>
  <si>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</si>
  <si>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</si>
  <si>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</si>
  <si>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</si>
  <si>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</si>
  <si>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</si>
  <si>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</si>
  <si>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</si>
  <si>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</si>
  <si>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</si>
  <si>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</si>
  <si>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</si>
  <si>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</si>
  <si>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</si>
  <si>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</si>
  <si>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</si>
  <si>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</si>
  <si>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</si>
  <si>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</si>
  <si>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</si>
  <si>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</si>
  <si>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</si>
  <si>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</si>
  <si>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</si>
  <si>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</si>
  <si>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</si>
  <si>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</si>
  <si>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</si>
  <si>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</si>
  <si>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</si>
  <si>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</si>
  <si>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</si>
  <si>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</si>
  <si>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</si>
  <si>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</si>
  <si>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</si>
  <si>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</si>
  <si>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</si>
  <si>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</si>
  <si>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</si>
  <si>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</si>
  <si>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</si>
  <si>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</si>
  <si>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</si>
  <si>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</si>
  <si>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</si>
  <si>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</si>
  <si>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</si>
  <si>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</si>
  <si>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</si>
  <si>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</si>
  <si>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Column1</t>
  </si>
  <si>
    <t>Basic Data Exploration</t>
  </si>
  <si>
    <t>calculate the total price of all products</t>
  </si>
  <si>
    <t>how many products exist in the data set</t>
  </si>
  <si>
    <t>average price of the products</t>
  </si>
  <si>
    <t>Answers</t>
  </si>
  <si>
    <t>Minimum ansd Maximum Values</t>
  </si>
  <si>
    <t>Minimum price among all products</t>
  </si>
  <si>
    <t>Maximum price among all products</t>
  </si>
  <si>
    <t>Conditional Functions</t>
  </si>
  <si>
    <t>Total price of products in the Electronics category</t>
  </si>
  <si>
    <t>Number of products with a price less than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</si>
</sst>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5" fillId="4" borderId="2" xfId="0" applyFont="1" applyFill="1" applyBorder="1"/>
    <xf numFmtId="0" fontId="8" fillId="3" borderId="0" xfId="0" applyFont="1" applyFill="1"/>
    <xf numFmtId="0" fontId="7" fillId="2" borderId="0" xfId="0" applyFont="1" applyFill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0" borderId="4" xfId="0" applyBorder="1"/>
    <xf numFmtId="0" fontId="4" fillId="0" borderId="6" xfId="0" applyFont="1" applyBorder="1"/>
    <xf numFmtId="0" fontId="0" fillId="0" borderId="8" xfId="0" applyBorder="1"/>
    <xf numFmtId="0" fontId="9" fillId="4" borderId="7" xfId="0" applyFont="1" applyFill="1" applyBorder="1"/>
    <xf numFmtId="0" fontId="9" fillId="0" borderId="7" xfId="0" applyFont="1" applyBorder="1"/>
    <xf numFmtId="0" fontId="3" fillId="4" borderId="3" xfId="0" applyFont="1" applyFill="1" applyBorder="1"/>
    <xf numFmtId="0" fontId="3" fillId="0" borderId="3" xfId="0" applyFont="1" applyBorder="1"/>
    <xf numFmtId="0" fontId="3" fillId="0" borderId="7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1" xfId="0" applyFont="1" applyBorder="1"/>
    <xf numFmtId="0" fontId="9" fillId="0" borderId="8" xfId="0" applyFont="1" applyBorder="1"/>
    <xf numFmtId="0" fontId="5" fillId="5" borderId="7" xfId="0" applyFont="1" applyFill="1" applyBorder="1"/>
    <xf numFmtId="0" fontId="6" fillId="5" borderId="9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center" vertical="bottom" textRotation="0" wrapText="0" indent="0" justifyLastLine="0" shrinkToFit="0" readingOrder="0"/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solid">
          <fgColor indexed="64"/>
          <bgColor rgb="FF4DD0E1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AB6A5-6F4C-4D38-AA15-CDEAA7F1DBB6}" name="sales" displayName="sales" ref="A1:K35" totalsRowShown="0" headerRowDxfId="12" dataDxfId="11">
  <autoFilter ref="A1:K35" xr:uid="{52FAB6A5-6F4C-4D38-AA15-CDEAA7F1DBB6}"/>
  <tableColumns count="11">
    <tableColumn id="1" xr3:uid="{7151BF6A-8E81-4DC2-984F-2A6220BC53AE}" name="Product ID" dataDxfId="10"/>
    <tableColumn id="2" xr3:uid="{16356C6D-90A6-4DBB-8DB0-1FD3B6DB1154}" name="Product Name" dataDxfId="9"/>
    <tableColumn id="3" xr3:uid="{BF456630-C73E-4D5A-ACF0-3E228A1F0BC1}" name="Brand Name" dataDxfId="8"/>
    <tableColumn id="4" xr3:uid="{164E9492-E09C-4EE4-B24B-C703B5FBA2B9}" name="Price ($)" dataDxfId="7"/>
    <tableColumn id="5" xr3:uid="{23C73DF1-E85A-4657-B9E9-7A04FFFE0B6B}" name="Quantity" dataDxfId="6"/>
    <tableColumn id="6" xr3:uid="{4A74F58E-91BF-401C-BCC4-7FB4A193ABDB}" name="Category" dataDxfId="5"/>
    <tableColumn id="7" xr3:uid="{FA0EAB1C-297F-4873-A051-F3B029B68BE3}" name="Price Range" dataDxfId="4">
      <calculatedColumnFormula>IF(sales[[#This Row],[Price ($)]]&gt;=500,"High Price","Standard Price")</calculatedColumnFormula>
    </tableColumn>
    <tableColumn id="8" xr3:uid="{BAD788FB-4157-4BE6-8216-B6EEA6B60D73}" name="Day" dataDxfId="3">
      <calculatedColumnFormula>LEFT(sales[[#This Row],[Product ID]],2)</calculatedColumnFormula>
    </tableColumn>
    <tableColumn id="9" xr3:uid="{E16E129F-1E57-4A32-A554-762554D78291}" name="Country code" dataDxfId="2">
      <calculatedColumnFormula>RIGHT(sales[[#This Row],[Product ID]],2)</calculatedColumnFormula>
    </tableColumn>
    <tableColumn id="10" xr3:uid="{F5E34846-A019-4C13-8A55-1D651769EF14}" name="Month" dataDxfId="1">
      <calculatedColumnFormula>MID(sales[[#This Row],[Product ID]],4,3)</calculatedColumnFormula>
    </tableColumn>
    <tableColumn id="11" xr3:uid="{490C304D-C75C-42E1-915F-DF881C8BB915}" name="Column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1D6A-1AD1-4E93-9E1E-5D2A8D6264DC}">
  <dimension ref="A1:K35"/>
  <sheetViews>
    <sheetView tabSelected="1" topLeftCell="D16" workbookViewId="0">
      <selection activeCell="J18" sqref="J18"/>
    </sheetView>
  </sheetViews>
  <sheetFormatPr defaultRowHeight="15"/>
  <cols>
    <col min="1" max="1" width="12.5703125" customWidth="1"/>
    <col min="2" max="2" width="16" customWidth="1"/>
    <col min="3" max="3" width="14.42578125" customWidth="1"/>
    <col min="4" max="4" width="10.5703125" customWidth="1"/>
    <col min="5" max="5" width="11.28515625" customWidth="1"/>
    <col min="6" max="6" width="13" customWidth="1"/>
    <col min="7" max="7" width="19.42578125" customWidth="1"/>
    <col min="8" max="8" width="11.7109375" style="5" customWidth="1"/>
    <col min="9" max="9" width="17.7109375" style="5" bestFit="1" customWidth="1"/>
    <col min="10" max="10" width="14.5703125" style="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93</v>
      </c>
      <c r="H1" s="2" t="s">
        <v>94</v>
      </c>
      <c r="I1" s="2" t="s">
        <v>95</v>
      </c>
      <c r="J1" s="2" t="s">
        <v>96</v>
      </c>
      <c r="K1" s="10" t="s">
        <v>97</v>
      </c>
    </row>
    <row r="2" spans="1:11">
      <c r="A2" s="1" t="s">
        <v>6</v>
      </c>
      <c r="B2" s="1" t="s">
        <v>7</v>
      </c>
      <c r="C2" s="1" t="s">
        <v>8</v>
      </c>
      <c r="D2" s="1">
        <v>1000</v>
      </c>
      <c r="E2" s="1">
        <v>30</v>
      </c>
      <c r="F2" s="1" t="s">
        <v>9</v>
      </c>
      <c r="G2" t="str">
        <f>IF(sales[[#This Row],[Price ($)]]&gt;=500,"High Price","Standard Price")</f>
        <v>High Price</v>
      </c>
      <c r="H2" s="4" t="str">
        <f>LEFT(sales[[#This Row],[Product ID]],2)</f>
        <v>28</v>
      </c>
      <c r="I2" s="4" t="str">
        <f>RIGHT(sales[[#This Row],[Product ID]],2)</f>
        <v>US</v>
      </c>
      <c r="J2" s="4" t="str">
        <f>MID(sales[[#This Row],[Product ID]],4,3)</f>
        <v>JAN</v>
      </c>
      <c r="K2" s="9"/>
    </row>
    <row r="3" spans="1:1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t="str">
        <f>IF(sales[[#This Row],[Price ($)]]&gt;=500,"High Price","Standard Price")</f>
        <v>Standard Price</v>
      </c>
      <c r="H3" s="4" t="str">
        <f>LEFT(sales[[#This Row],[Product ID]],2)</f>
        <v>15</v>
      </c>
      <c r="I3" s="4" t="str">
        <f>RIGHT(sales[[#This Row],[Product ID]],2)</f>
        <v>US</v>
      </c>
      <c r="J3" s="4" t="str">
        <f>MID(sales[[#This Row],[Product ID]],4,3)</f>
        <v>FEB</v>
      </c>
      <c r="K3" s="9"/>
    </row>
    <row r="4" spans="1:11">
      <c r="A4" s="1" t="s">
        <v>14</v>
      </c>
      <c r="B4" s="1" t="s">
        <v>15</v>
      </c>
      <c r="C4" s="1" t="s">
        <v>16</v>
      </c>
      <c r="D4" s="1">
        <v>130</v>
      </c>
      <c r="E4" s="1">
        <v>40</v>
      </c>
      <c r="F4" s="1" t="s">
        <v>17</v>
      </c>
      <c r="G4" t="str">
        <f>IF(sales[[#This Row],[Price ($)]]&gt;=500,"High Price","Standard Price")</f>
        <v>Standard Price</v>
      </c>
      <c r="H4" s="4" t="str">
        <f>LEFT(sales[[#This Row],[Product ID]],2)</f>
        <v>03</v>
      </c>
      <c r="I4" s="4" t="str">
        <f>RIGHT(sales[[#This Row],[Product ID]],2)</f>
        <v>US</v>
      </c>
      <c r="J4" s="4" t="str">
        <f>MID(sales[[#This Row],[Product ID]],4,3)</f>
        <v>MAR</v>
      </c>
      <c r="K4" s="9"/>
    </row>
    <row r="5" spans="1:1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t="str">
        <f>IF(sales[[#This Row],[Price ($)]]&gt;=500,"High Price","Standard Price")</f>
        <v>High Price</v>
      </c>
      <c r="H5" s="4" t="str">
        <f>LEFT(sales[[#This Row],[Product ID]],2)</f>
        <v>11</v>
      </c>
      <c r="I5" s="4" t="str">
        <f>RIGHT(sales[[#This Row],[Product ID]],2)</f>
        <v>US</v>
      </c>
      <c r="J5" s="4" t="str">
        <f>MID(sales[[#This Row],[Product ID]],4,3)</f>
        <v>APR</v>
      </c>
      <c r="K5" s="9"/>
    </row>
    <row r="6" spans="1:11">
      <c r="A6" s="1" t="s">
        <v>21</v>
      </c>
      <c r="B6" s="1" t="s">
        <v>22</v>
      </c>
      <c r="C6" s="1" t="s">
        <v>23</v>
      </c>
      <c r="D6" s="1">
        <v>70</v>
      </c>
      <c r="E6" s="1">
        <v>20</v>
      </c>
      <c r="F6" s="1" t="s">
        <v>24</v>
      </c>
      <c r="G6" t="str">
        <f>IF(sales[[#This Row],[Price ($)]]&gt;=500,"High Price","Standard Price")</f>
        <v>Standard Price</v>
      </c>
      <c r="H6" s="4" t="str">
        <f>LEFT(sales[[#This Row],[Product ID]],2)</f>
        <v>22</v>
      </c>
      <c r="I6" s="4" t="str">
        <f>RIGHT(sales[[#This Row],[Product ID]],2)</f>
        <v>US</v>
      </c>
      <c r="J6" s="4" t="str">
        <f>MID(sales[[#This Row],[Product ID]],4,3)</f>
        <v>MAY</v>
      </c>
      <c r="K6" s="9"/>
    </row>
    <row r="7" spans="1:11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t="str">
        <f>IF(sales[[#This Row],[Price ($)]]&gt;=500,"High Price","Standard Price")</f>
        <v>Standard Price</v>
      </c>
      <c r="H7" s="4" t="str">
        <f>LEFT(sales[[#This Row],[Product ID]],2)</f>
        <v>07</v>
      </c>
      <c r="I7" s="4" t="str">
        <f>RIGHT(sales[[#This Row],[Product ID]],2)</f>
        <v>UK</v>
      </c>
      <c r="J7" s="4" t="str">
        <f>MID(sales[[#This Row],[Product ID]],4,3)</f>
        <v>JUN</v>
      </c>
      <c r="K7" s="9"/>
    </row>
    <row r="8" spans="1:11">
      <c r="A8" s="1" t="s">
        <v>28</v>
      </c>
      <c r="B8" s="1" t="s">
        <v>29</v>
      </c>
      <c r="C8" s="1" t="s">
        <v>30</v>
      </c>
      <c r="D8" s="1">
        <v>30</v>
      </c>
      <c r="E8" s="1">
        <v>5</v>
      </c>
      <c r="F8" s="1" t="s">
        <v>13</v>
      </c>
      <c r="G8" t="str">
        <f>IF(sales[[#This Row],[Price ($)]]&gt;=500,"High Price","Standard Price")</f>
        <v>Standard Price</v>
      </c>
      <c r="H8" s="4" t="str">
        <f>LEFT(sales[[#This Row],[Product ID]],2)</f>
        <v>19</v>
      </c>
      <c r="I8" s="4" t="str">
        <f>RIGHT(sales[[#This Row],[Product ID]],2)</f>
        <v>UK</v>
      </c>
      <c r="J8" s="4" t="str">
        <f>MID(sales[[#This Row],[Product ID]],4,3)</f>
        <v>JUL</v>
      </c>
      <c r="K8" s="9"/>
    </row>
    <row r="9" spans="1:1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t="str">
        <f>IF(sales[[#This Row],[Price ($)]]&gt;=500,"High Price","Standard Price")</f>
        <v>Standard Price</v>
      </c>
      <c r="H9" s="4" t="str">
        <f>LEFT(sales[[#This Row],[Product ID]],2)</f>
        <v>23</v>
      </c>
      <c r="I9" s="4" t="str">
        <f>RIGHT(sales[[#This Row],[Product ID]],2)</f>
        <v>UK</v>
      </c>
      <c r="J9" s="4" t="str">
        <f>MID(sales[[#This Row],[Product ID]],4,3)</f>
        <v>AUG</v>
      </c>
      <c r="K9" s="9"/>
    </row>
    <row r="10" spans="1:11">
      <c r="A10" s="1" t="s">
        <v>34</v>
      </c>
      <c r="B10" s="1" t="s">
        <v>35</v>
      </c>
      <c r="C10" s="1" t="s">
        <v>36</v>
      </c>
      <c r="D10" s="1">
        <v>500</v>
      </c>
      <c r="E10" s="1">
        <v>50</v>
      </c>
      <c r="F10" s="1" t="s">
        <v>9</v>
      </c>
      <c r="G10" t="str">
        <f>IF(sales[[#This Row],[Price ($)]]&gt;=500,"High Price","Standard Price")</f>
        <v>High Price</v>
      </c>
      <c r="H10" s="4" t="str">
        <f>LEFT(sales[[#This Row],[Product ID]],2)</f>
        <v>05</v>
      </c>
      <c r="I10" s="4" t="str">
        <f>RIGHT(sales[[#This Row],[Product ID]],2)</f>
        <v>UK</v>
      </c>
      <c r="J10" s="4" t="str">
        <f>MID(sales[[#This Row],[Product ID]],4,3)</f>
        <v>SEP</v>
      </c>
      <c r="K10" s="9"/>
    </row>
    <row r="11" spans="1:1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t="str">
        <f>IF(sales[[#This Row],[Price ($)]]&gt;=500,"High Price","Standard Price")</f>
        <v>Standard Price</v>
      </c>
      <c r="H11" s="4" t="str">
        <f>LEFT(sales[[#This Row],[Product ID]],2)</f>
        <v>14</v>
      </c>
      <c r="I11" s="4" t="str">
        <f>RIGHT(sales[[#This Row],[Product ID]],2)</f>
        <v>UK</v>
      </c>
      <c r="J11" s="4" t="str">
        <f>MID(sales[[#This Row],[Product ID]],4,3)</f>
        <v>OCT</v>
      </c>
      <c r="K11" s="9"/>
    </row>
    <row r="12" spans="1:11">
      <c r="A12" s="1" t="s">
        <v>40</v>
      </c>
      <c r="B12" s="1" t="s">
        <v>7</v>
      </c>
      <c r="C12" s="1" t="s">
        <v>41</v>
      </c>
      <c r="D12" s="1">
        <v>950</v>
      </c>
      <c r="E12" s="1">
        <v>25</v>
      </c>
      <c r="F12" s="1" t="s">
        <v>9</v>
      </c>
      <c r="G12" t="str">
        <f>IF(sales[[#This Row],[Price ($)]]&gt;=500,"High Price","Standard Price")</f>
        <v>High Price</v>
      </c>
      <c r="H12" s="4" t="str">
        <f>LEFT(sales[[#This Row],[Product ID]],2)</f>
        <v>17</v>
      </c>
      <c r="I12" s="4" t="str">
        <f>RIGHT(sales[[#This Row],[Product ID]],2)</f>
        <v>IN</v>
      </c>
      <c r="J12" s="4" t="str">
        <f>MID(sales[[#This Row],[Product ID]],4,3)</f>
        <v>JUN</v>
      </c>
      <c r="K12" s="9"/>
    </row>
    <row r="13" spans="1:11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t="str">
        <f>IF(sales[[#This Row],[Price ($)]]&gt;=500,"High Price","Standard Price")</f>
        <v>Standard Price</v>
      </c>
      <c r="H13" s="4" t="str">
        <f>LEFT(sales[[#This Row],[Product ID]],2)</f>
        <v>25</v>
      </c>
      <c r="I13" s="4" t="str">
        <f>RIGHT(sales[[#This Row],[Product ID]],2)</f>
        <v>AU</v>
      </c>
      <c r="J13" s="4" t="str">
        <f>MID(sales[[#This Row],[Product ID]],4,3)</f>
        <v>NOV</v>
      </c>
      <c r="K13" s="9"/>
    </row>
    <row r="14" spans="1:11">
      <c r="A14" s="1" t="s">
        <v>43</v>
      </c>
      <c r="B14" s="1" t="s">
        <v>15</v>
      </c>
      <c r="C14" s="1" t="s">
        <v>44</v>
      </c>
      <c r="D14" s="1">
        <v>120</v>
      </c>
      <c r="E14" s="1">
        <v>35</v>
      </c>
      <c r="F14" s="1" t="s">
        <v>17</v>
      </c>
      <c r="G14" t="str">
        <f>IF(sales[[#This Row],[Price ($)]]&gt;=500,"High Price","Standard Price")</f>
        <v>Standard Price</v>
      </c>
      <c r="H14" s="4" t="str">
        <f>LEFT(sales[[#This Row],[Product ID]],2)</f>
        <v>08</v>
      </c>
      <c r="I14" s="4" t="str">
        <f>RIGHT(sales[[#This Row],[Product ID]],2)</f>
        <v>DE</v>
      </c>
      <c r="J14" s="4" t="str">
        <f>MID(sales[[#This Row],[Product ID]],4,3)</f>
        <v>DEC</v>
      </c>
      <c r="K14" s="9"/>
    </row>
    <row r="15" spans="1:11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t="str">
        <f>IF(sales[[#This Row],[Price ($)]]&gt;=500,"High Price","Standard Price")</f>
        <v>Standard Price</v>
      </c>
      <c r="H15" s="4" t="str">
        <f>LEFT(sales[[#This Row],[Product ID]],2)</f>
        <v>18</v>
      </c>
      <c r="I15" s="4" t="str">
        <f>RIGHT(sales[[#This Row],[Product ID]],2)</f>
        <v>CA</v>
      </c>
      <c r="J15" s="4" t="str">
        <f>MID(sales[[#This Row],[Product ID]],4,3)</f>
        <v>FEB</v>
      </c>
      <c r="K15" s="9"/>
    </row>
    <row r="16" spans="1:11">
      <c r="A16" s="1" t="s">
        <v>48</v>
      </c>
      <c r="B16" s="1" t="s">
        <v>26</v>
      </c>
      <c r="C16" s="1" t="s">
        <v>49</v>
      </c>
      <c r="D16" s="1">
        <v>250</v>
      </c>
      <c r="E16" s="1">
        <v>20</v>
      </c>
      <c r="F16" s="1" t="s">
        <v>9</v>
      </c>
      <c r="G16" t="str">
        <f>IF(sales[[#This Row],[Price ($)]]&gt;=500,"High Price","Standard Price")</f>
        <v>Standard Price</v>
      </c>
      <c r="H16" s="4" t="str">
        <f>LEFT(sales[[#This Row],[Product ID]],2)</f>
        <v>16</v>
      </c>
      <c r="I16" s="4" t="str">
        <f>RIGHT(sales[[#This Row],[Product ID]],2)</f>
        <v>ES</v>
      </c>
      <c r="J16" s="4" t="str">
        <f>MID(sales[[#This Row],[Product ID]],4,3)</f>
        <v>APR</v>
      </c>
      <c r="K16" s="9"/>
    </row>
    <row r="17" spans="1:11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t="str">
        <f>IF(sales[[#This Row],[Price ($)]]&gt;=500,"High Price","Standard Price")</f>
        <v>Standard Price</v>
      </c>
      <c r="H17" s="4" t="str">
        <f>LEFT(sales[[#This Row],[Product ID]],2)</f>
        <v>21</v>
      </c>
      <c r="I17" s="4" t="str">
        <f>RIGHT(sales[[#This Row],[Product ID]],2)</f>
        <v>CA</v>
      </c>
      <c r="J17" s="4" t="str">
        <f>MID(sales[[#This Row],[Product ID]],4,3)</f>
        <v>AUG</v>
      </c>
      <c r="K17" s="9"/>
    </row>
    <row r="18" spans="1:11">
      <c r="A18" s="1" t="s">
        <v>54</v>
      </c>
      <c r="B18" s="1" t="s">
        <v>46</v>
      </c>
      <c r="C18" s="1" t="s">
        <v>55</v>
      </c>
      <c r="D18" s="1">
        <v>160</v>
      </c>
      <c r="E18" s="1">
        <v>15</v>
      </c>
      <c r="F18" s="1" t="s">
        <v>9</v>
      </c>
      <c r="G18" t="str">
        <f>IF(sales[[#This Row],[Price ($)]]&gt;=500,"High Price","Standard Price")</f>
        <v>Standard Price</v>
      </c>
      <c r="H18" s="4" t="str">
        <f>LEFT(sales[[#This Row],[Product ID]],2)</f>
        <v>20</v>
      </c>
      <c r="I18" s="4" t="str">
        <f>RIGHT(sales[[#This Row],[Product ID]],2)</f>
        <v>CN</v>
      </c>
      <c r="J18" s="4" t="str">
        <f>MID(sales[[#This Row],[Product ID]],4,3)</f>
        <v>AUG</v>
      </c>
      <c r="K18" s="9"/>
    </row>
    <row r="19" spans="1:11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t="str">
        <f>IF(sales[[#This Row],[Price ($)]]&gt;=500,"High Price","Standard Price")</f>
        <v>High Price</v>
      </c>
      <c r="H19" s="4" t="str">
        <f>LEFT(sales[[#This Row],[Product ID]],2)</f>
        <v>27</v>
      </c>
      <c r="I19" s="4" t="str">
        <f>RIGHT(sales[[#This Row],[Product ID]],2)</f>
        <v>IT</v>
      </c>
      <c r="J19" s="4" t="str">
        <f>MID(sales[[#This Row],[Product ID]],4,3)</f>
        <v>JAN</v>
      </c>
      <c r="K19" s="9"/>
    </row>
    <row r="20" spans="1:11">
      <c r="A20" s="1" t="s">
        <v>58</v>
      </c>
      <c r="B20" s="1" t="s">
        <v>59</v>
      </c>
      <c r="C20" s="1" t="s">
        <v>60</v>
      </c>
      <c r="D20" s="1">
        <v>150</v>
      </c>
      <c r="E20" s="1">
        <v>15</v>
      </c>
      <c r="F20" s="1" t="s">
        <v>13</v>
      </c>
      <c r="G20" t="str">
        <f>IF(sales[[#This Row],[Price ($)]]&gt;=500,"High Price","Standard Price")</f>
        <v>Standard Price</v>
      </c>
      <c r="H20" s="4" t="str">
        <f>LEFT(sales[[#This Row],[Product ID]],2)</f>
        <v>01</v>
      </c>
      <c r="I20" s="4" t="str">
        <f>RIGHT(sales[[#This Row],[Product ID]],2)</f>
        <v>UK</v>
      </c>
      <c r="J20" s="4" t="str">
        <f>MID(sales[[#This Row],[Product ID]],4,3)</f>
        <v>MAR</v>
      </c>
      <c r="K20" s="9"/>
    </row>
    <row r="21" spans="1:11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t="str">
        <f>IF(sales[[#This Row],[Price ($)]]&gt;=500,"High Price","Standard Price")</f>
        <v>Standard Price</v>
      </c>
      <c r="H21" s="4" t="str">
        <f>LEFT(sales[[#This Row],[Product ID]],2)</f>
        <v>14</v>
      </c>
      <c r="I21" s="4" t="str">
        <f>RIGHT(sales[[#This Row],[Product ID]],2)</f>
        <v>US</v>
      </c>
      <c r="J21" s="4" t="str">
        <f>MID(sales[[#This Row],[Product ID]],4,3)</f>
        <v>AUG</v>
      </c>
      <c r="K21" s="9"/>
    </row>
    <row r="22" spans="1:11">
      <c r="A22" s="1" t="s">
        <v>64</v>
      </c>
      <c r="B22" s="1" t="s">
        <v>65</v>
      </c>
      <c r="C22" s="1" t="s">
        <v>66</v>
      </c>
      <c r="D22" s="1">
        <v>700</v>
      </c>
      <c r="E22" s="1">
        <v>50</v>
      </c>
      <c r="F22" s="1" t="s">
        <v>9</v>
      </c>
      <c r="G22" t="str">
        <f>IF(sales[[#This Row],[Price ($)]]&gt;=500,"High Price","Standard Price")</f>
        <v>High Price</v>
      </c>
      <c r="H22" s="4" t="str">
        <f>LEFT(sales[[#This Row],[Product ID]],2)</f>
        <v>14</v>
      </c>
      <c r="I22" s="4" t="str">
        <f>RIGHT(sales[[#This Row],[Product ID]],2)</f>
        <v>RU</v>
      </c>
      <c r="J22" s="4" t="str">
        <f>MID(sales[[#This Row],[Product ID]],4,3)</f>
        <v>MAY</v>
      </c>
      <c r="K22" s="9"/>
    </row>
    <row r="23" spans="1:11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t="str">
        <f>IF(sales[[#This Row],[Price ($)]]&gt;=500,"High Price","Standard Price")</f>
        <v>Standard Price</v>
      </c>
      <c r="H23" s="4" t="str">
        <f>LEFT(sales[[#This Row],[Product ID]],2)</f>
        <v>09</v>
      </c>
      <c r="I23" s="4" t="str">
        <f>RIGHT(sales[[#This Row],[Product ID]],2)</f>
        <v>CA</v>
      </c>
      <c r="J23" s="4" t="str">
        <f>MID(sales[[#This Row],[Product ID]],4,3)</f>
        <v>JAN</v>
      </c>
      <c r="K23" s="9"/>
    </row>
    <row r="24" spans="1:11">
      <c r="A24" s="1" t="s">
        <v>70</v>
      </c>
      <c r="B24" s="1" t="s">
        <v>71</v>
      </c>
      <c r="C24" s="1" t="s">
        <v>72</v>
      </c>
      <c r="D24" s="1">
        <v>150</v>
      </c>
      <c r="E24" s="1">
        <v>30</v>
      </c>
      <c r="F24" s="1" t="s">
        <v>9</v>
      </c>
      <c r="G24" t="str">
        <f>IF(sales[[#This Row],[Price ($)]]&gt;=500,"High Price","Standard Price")</f>
        <v>Standard Price</v>
      </c>
      <c r="H24" s="4" t="str">
        <f>LEFT(sales[[#This Row],[Product ID]],2)</f>
        <v>19</v>
      </c>
      <c r="I24" s="4" t="str">
        <f>RIGHT(sales[[#This Row],[Product ID]],2)</f>
        <v>BR</v>
      </c>
      <c r="J24" s="4" t="str">
        <f>MID(sales[[#This Row],[Product ID]],4,3)</f>
        <v>JUL</v>
      </c>
      <c r="K24" s="9"/>
    </row>
    <row r="25" spans="1:11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t="str">
        <f>IF(sales[[#This Row],[Price ($)]]&gt;=500,"High Price","Standard Price")</f>
        <v>Standard Price</v>
      </c>
      <c r="H25" s="4" t="str">
        <f>LEFT(sales[[#This Row],[Product ID]],2)</f>
        <v>21</v>
      </c>
      <c r="I25" s="4" t="str">
        <f>RIGHT(sales[[#This Row],[Product ID]],2)</f>
        <v>CA</v>
      </c>
      <c r="J25" s="4" t="str">
        <f>MID(sales[[#This Row],[Product ID]],4,3)</f>
        <v>AUG</v>
      </c>
      <c r="K25" s="9"/>
    </row>
    <row r="26" spans="1:11">
      <c r="A26" s="1" t="s">
        <v>73</v>
      </c>
      <c r="B26" s="1" t="s">
        <v>19</v>
      </c>
      <c r="C26" s="1" t="s">
        <v>74</v>
      </c>
      <c r="D26" s="1">
        <v>800</v>
      </c>
      <c r="E26" s="1">
        <v>45</v>
      </c>
      <c r="F26" s="1" t="s">
        <v>9</v>
      </c>
      <c r="G26" t="str">
        <f>IF(sales[[#This Row],[Price ($)]]&gt;=500,"High Price","Standard Price")</f>
        <v>High Price</v>
      </c>
      <c r="H26" s="4" t="str">
        <f>LEFT(sales[[#This Row],[Product ID]],2)</f>
        <v>29</v>
      </c>
      <c r="I26" s="4" t="str">
        <f>RIGHT(sales[[#This Row],[Product ID]],2)</f>
        <v>CA</v>
      </c>
      <c r="J26" s="4" t="str">
        <f>MID(sales[[#This Row],[Product ID]],4,3)</f>
        <v>SEP</v>
      </c>
      <c r="K26" s="9"/>
    </row>
    <row r="27" spans="1:11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t="str">
        <f>IF(sales[[#This Row],[Price ($)]]&gt;=500,"High Price","Standard Price")</f>
        <v>Standard Price</v>
      </c>
      <c r="H27" s="4" t="str">
        <f>LEFT(sales[[#This Row],[Product ID]],2)</f>
        <v>03</v>
      </c>
      <c r="I27" s="4" t="str">
        <f>RIGHT(sales[[#This Row],[Product ID]],2)</f>
        <v>CA</v>
      </c>
      <c r="J27" s="4" t="str">
        <f>MID(sales[[#This Row],[Product ID]],4,3)</f>
        <v>JUN</v>
      </c>
      <c r="K27" s="9"/>
    </row>
    <row r="28" spans="1:11">
      <c r="A28" s="1" t="s">
        <v>77</v>
      </c>
      <c r="B28" s="1" t="s">
        <v>32</v>
      </c>
      <c r="C28" s="1" t="s">
        <v>78</v>
      </c>
      <c r="D28" s="1">
        <v>400</v>
      </c>
      <c r="E28" s="1">
        <v>40</v>
      </c>
      <c r="F28" s="1" t="s">
        <v>17</v>
      </c>
      <c r="G28" t="str">
        <f>IF(sales[[#This Row],[Price ($)]]&gt;=500,"High Price","Standard Price")</f>
        <v>Standard Price</v>
      </c>
      <c r="H28" s="4" t="str">
        <f>LEFT(sales[[#This Row],[Product ID]],2)</f>
        <v>11</v>
      </c>
      <c r="I28" s="4" t="str">
        <f>RIGHT(sales[[#This Row],[Product ID]],2)</f>
        <v>CA</v>
      </c>
      <c r="J28" s="4" t="str">
        <f>MID(sales[[#This Row],[Product ID]],4,3)</f>
        <v>JUL</v>
      </c>
      <c r="K28" s="9"/>
    </row>
    <row r="29" spans="1:11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t="str">
        <f>IF(sales[[#This Row],[Price ($)]]&gt;=500,"High Price","Standard Price")</f>
        <v>Standard Price</v>
      </c>
      <c r="H29" s="4" t="str">
        <f>LEFT(sales[[#This Row],[Product ID]],2)</f>
        <v>16</v>
      </c>
      <c r="I29" s="4" t="str">
        <f>RIGHT(sales[[#This Row],[Product ID]],2)</f>
        <v>ES</v>
      </c>
      <c r="J29" s="4" t="str">
        <f>MID(sales[[#This Row],[Product ID]],4,3)</f>
        <v>APR</v>
      </c>
      <c r="K29" s="9"/>
    </row>
    <row r="30" spans="1:11">
      <c r="A30" s="1" t="s">
        <v>79</v>
      </c>
      <c r="B30" s="1" t="s">
        <v>80</v>
      </c>
      <c r="C30" s="1" t="s">
        <v>81</v>
      </c>
      <c r="D30" s="1">
        <v>60</v>
      </c>
      <c r="E30" s="1">
        <v>30</v>
      </c>
      <c r="F30" s="1" t="s">
        <v>13</v>
      </c>
      <c r="G30" t="str">
        <f>IF(sales[[#This Row],[Price ($)]]&gt;=500,"High Price","Standard Price")</f>
        <v>Standard Price</v>
      </c>
      <c r="H30" s="4" t="str">
        <f>LEFT(sales[[#This Row],[Product ID]],2)</f>
        <v>07</v>
      </c>
      <c r="I30" s="4" t="str">
        <f>RIGHT(sales[[#This Row],[Product ID]],2)</f>
        <v>CA</v>
      </c>
      <c r="J30" s="4" t="str">
        <f>MID(sales[[#This Row],[Product ID]],4,3)</f>
        <v>MAR</v>
      </c>
      <c r="K30" s="9"/>
    </row>
    <row r="31" spans="1:11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t="str">
        <f>IF(sales[[#This Row],[Price ($)]]&gt;=500,"High Price","Standard Price")</f>
        <v>Standard Price</v>
      </c>
      <c r="H31" s="4" t="str">
        <f>LEFT(sales[[#This Row],[Product ID]],2)</f>
        <v>13</v>
      </c>
      <c r="I31" s="4" t="str">
        <f>RIGHT(sales[[#This Row],[Product ID]],2)</f>
        <v>CA</v>
      </c>
      <c r="J31" s="4" t="str">
        <f>MID(sales[[#This Row],[Product ID]],4,3)</f>
        <v>APR</v>
      </c>
      <c r="K31" s="9"/>
    </row>
    <row r="32" spans="1:11">
      <c r="A32" s="1" t="s">
        <v>85</v>
      </c>
      <c r="B32" s="1" t="s">
        <v>71</v>
      </c>
      <c r="C32" s="1" t="s">
        <v>86</v>
      </c>
      <c r="D32" s="1">
        <v>130</v>
      </c>
      <c r="E32" s="1">
        <v>5</v>
      </c>
      <c r="F32" s="1" t="s">
        <v>9</v>
      </c>
      <c r="G32" t="str">
        <f>IF(sales[[#This Row],[Price ($)]]&gt;=500,"High Price","Standard Price")</f>
        <v>Standard Price</v>
      </c>
      <c r="H32" s="4" t="str">
        <f>LEFT(sales[[#This Row],[Product ID]],2)</f>
        <v>24</v>
      </c>
      <c r="I32" s="4" t="str">
        <f>RIGHT(sales[[#This Row],[Product ID]],2)</f>
        <v>CA</v>
      </c>
      <c r="J32" s="4" t="str">
        <f>MID(sales[[#This Row],[Product ID]],4,3)</f>
        <v>MAY</v>
      </c>
      <c r="K32" s="9"/>
    </row>
    <row r="33" spans="1:11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t="str">
        <f>IF(sales[[#This Row],[Price ($)]]&gt;=500,"High Price","Standard Price")</f>
        <v>Standard Price</v>
      </c>
      <c r="H33" s="4" t="str">
        <f>LEFT(sales[[#This Row],[Product ID]],2)</f>
        <v>02</v>
      </c>
      <c r="I33" s="4" t="str">
        <f>RIGHT(sales[[#This Row],[Product ID]],2)</f>
        <v>CA</v>
      </c>
      <c r="J33" s="4" t="str">
        <f>MID(sales[[#This Row],[Product ID]],4,3)</f>
        <v>DEC</v>
      </c>
      <c r="K33" s="9"/>
    </row>
    <row r="34" spans="1:11">
      <c r="A34" s="1" t="s">
        <v>40</v>
      </c>
      <c r="B34" s="1" t="s">
        <v>7</v>
      </c>
      <c r="C34" s="1" t="s">
        <v>41</v>
      </c>
      <c r="D34" s="1">
        <v>950</v>
      </c>
      <c r="E34" s="1">
        <v>25</v>
      </c>
      <c r="F34" s="1" t="s">
        <v>9</v>
      </c>
      <c r="G34" t="str">
        <f>IF(sales[[#This Row],[Price ($)]]&gt;=500,"High Price","Standard Price")</f>
        <v>High Price</v>
      </c>
      <c r="H34" s="4" t="str">
        <f>LEFT(sales[[#This Row],[Product ID]],2)</f>
        <v>17</v>
      </c>
      <c r="I34" s="4" t="str">
        <f>RIGHT(sales[[#This Row],[Product ID]],2)</f>
        <v>IN</v>
      </c>
      <c r="J34" s="4" t="str">
        <f>MID(sales[[#This Row],[Product ID]],4,3)</f>
        <v>JUN</v>
      </c>
      <c r="K34" s="9"/>
    </row>
    <row r="35" spans="1:11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t="str">
        <f>IF(sales[[#This Row],[Price ($)]]&gt;=500,"High Price","Standard Price")</f>
        <v>Standard Price</v>
      </c>
      <c r="H35" s="4" t="str">
        <f>LEFT(sales[[#This Row],[Product ID]],2)</f>
        <v>09</v>
      </c>
      <c r="I35" s="4" t="str">
        <f>RIGHT(sales[[#This Row],[Product ID]],2)</f>
        <v>FR</v>
      </c>
      <c r="J35" s="4" t="str">
        <f>MID(sales[[#This Row],[Product ID]],4,3)</f>
        <v>JUL</v>
      </c>
      <c r="K35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8229-F624-41D1-B17B-C1422A17374A}">
  <dimension ref="B1:F17"/>
  <sheetViews>
    <sheetView workbookViewId="0">
      <selection activeCell="C4" sqref="C4"/>
    </sheetView>
  </sheetViews>
  <sheetFormatPr defaultRowHeight="15"/>
  <cols>
    <col min="2" max="2" width="62.140625" customWidth="1"/>
    <col min="3" max="3" width="16.5703125" style="7" customWidth="1"/>
    <col min="4" max="4" width="12" style="7" bestFit="1" customWidth="1"/>
  </cols>
  <sheetData>
    <row r="1" spans="2:6">
      <c r="C1" s="6"/>
    </row>
    <row r="2" spans="2:6" ht="29.25" thickBot="1">
      <c r="B2" s="26" t="s">
        <v>98</v>
      </c>
      <c r="C2" s="27" t="s">
        <v>102</v>
      </c>
      <c r="D2" s="8"/>
    </row>
    <row r="3" spans="2:6" ht="25.5" thickTop="1" thickBot="1">
      <c r="B3" s="14"/>
      <c r="C3" s="13"/>
    </row>
    <row r="4" spans="2:6" s="11" customFormat="1" ht="20.25" thickTop="1" thickBot="1">
      <c r="B4" s="16" t="s">
        <v>99</v>
      </c>
      <c r="C4" s="18">
        <f>SUM(sales[Price ($)])</f>
        <v>10100</v>
      </c>
      <c r="D4" s="12"/>
    </row>
    <row r="5" spans="2:6" ht="20.25" thickTop="1" thickBot="1">
      <c r="B5" s="17" t="s">
        <v>100</v>
      </c>
      <c r="C5" s="19">
        <f>COUNTA(sales[Product Name])</f>
        <v>34</v>
      </c>
      <c r="D5" s="6"/>
    </row>
    <row r="6" spans="2:6" ht="20.25" thickTop="1" thickBot="1">
      <c r="B6" s="17" t="s">
        <v>101</v>
      </c>
      <c r="C6" s="19">
        <f>AVERAGE(sales[Price ($)])</f>
        <v>297.05882352941177</v>
      </c>
      <c r="D6" s="6"/>
    </row>
    <row r="7" spans="2:6" ht="16.5" thickTop="1" thickBot="1">
      <c r="B7" s="15"/>
      <c r="C7" s="6"/>
    </row>
    <row r="8" spans="2:6" ht="21.75" thickTop="1">
      <c r="B8" s="25" t="s">
        <v>103</v>
      </c>
      <c r="C8" s="6"/>
    </row>
    <row r="9" spans="2:6" ht="15.75" thickBot="1">
      <c r="B9" s="20"/>
      <c r="C9" s="21"/>
    </row>
    <row r="10" spans="2:6" ht="20.25" thickTop="1" thickBot="1">
      <c r="B10" s="17" t="s">
        <v>104</v>
      </c>
      <c r="C10" s="19">
        <f>MIN(sales[Price ($)])</f>
        <v>30</v>
      </c>
      <c r="D10" s="6"/>
    </row>
    <row r="11" spans="2:6" ht="20.25" thickTop="1" thickBot="1">
      <c r="B11" s="17" t="s">
        <v>105</v>
      </c>
      <c r="C11" s="19">
        <f>MAX(sales[Price ($)])</f>
        <v>1000</v>
      </c>
      <c r="D11" s="6"/>
    </row>
    <row r="12" spans="2:6" ht="16.5" thickTop="1" thickBot="1">
      <c r="B12" s="22"/>
      <c r="C12" s="23"/>
    </row>
    <row r="13" spans="2:6" ht="21.75" thickTop="1">
      <c r="B13" s="25" t="s">
        <v>106</v>
      </c>
      <c r="C13" s="23"/>
      <c r="F13" s="6"/>
    </row>
    <row r="14" spans="2:6" ht="15.75" thickBot="1">
      <c r="B14" s="20"/>
      <c r="C14" s="21"/>
    </row>
    <row r="15" spans="2:6" ht="20.25" thickTop="1" thickBot="1">
      <c r="B15" s="17" t="s">
        <v>107</v>
      </c>
      <c r="C15" s="19">
        <f>SUMIF(sales[Category],"Electronics",sales[Price ($)])</f>
        <v>8050</v>
      </c>
      <c r="D15" s="6"/>
    </row>
    <row r="16" spans="2:6" ht="20.25" thickTop="1" thickBot="1">
      <c r="B16" s="24" t="s">
        <v>108</v>
      </c>
      <c r="C16" s="19">
        <f>COUNTIF(sales[Price ($)],"&lt;100")</f>
        <v>11</v>
      </c>
      <c r="D16" s="6"/>
    </row>
    <row r="17" ht="15.75" thickTop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jananideivendran96@gmail.com</dc:creator>
  <cp:lastModifiedBy>jananideivendran96@gmail.com</cp:lastModifiedBy>
  <dcterms:created xsi:type="dcterms:W3CDTF">2026-10-27T11:24:22Z</dcterms:created>
  <dcterms:modified xsi:type="dcterms:W3CDTF">2026-10-29T08:24:51Z</dcterms:modified>
</cp:coreProperties>
</file>